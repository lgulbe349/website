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ri.riga.lv\rv1g\Audzekni\lgulbe24\My Documents\"/>
    </mc:Choice>
  </mc:AlternateContent>
  <xr:revisionPtr revIDLastSave="0" documentId="14_{FB7EB0F7-C99F-4D58-9FC7-C1A4F9CEF1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4" l="1"/>
  <c r="B6" i="4"/>
  <c r="B7" i="4"/>
  <c r="B8" i="4"/>
  <c r="B9" i="4"/>
  <c r="B10" i="4"/>
  <c r="B11" i="4"/>
  <c r="B12" i="4"/>
  <c r="B13" i="4"/>
  <c r="B4" i="4"/>
  <c r="F12" i="8"/>
  <c r="F8" i="8" s="1"/>
  <c r="F11" i="8"/>
  <c r="F13" i="8" s="1"/>
  <c r="F15" i="8" s="1"/>
  <c r="F6" i="6"/>
  <c r="F7" i="6"/>
  <c r="F8" i="6"/>
  <c r="F5" i="6"/>
  <c r="E8" i="6"/>
  <c r="E6" i="6"/>
  <c r="E7" i="6"/>
  <c r="E5" i="6"/>
  <c r="D6" i="6"/>
  <c r="G6" i="6" s="1"/>
  <c r="D7" i="6"/>
  <c r="G7" i="6" s="1"/>
  <c r="D8" i="6"/>
  <c r="G8" i="6" s="1"/>
  <c r="D5" i="6"/>
  <c r="G5" i="6" s="1"/>
  <c r="C12" i="7"/>
  <c r="D12" i="7" s="1"/>
  <c r="E12" i="7" s="1"/>
  <c r="F12" i="7" s="1"/>
  <c r="G12" i="7" s="1"/>
  <c r="H12" i="7" s="1"/>
  <c r="I12" i="7" s="1"/>
  <c r="J12" i="7" s="1"/>
  <c r="K12" i="7" s="1"/>
  <c r="C13" i="7"/>
  <c r="D13" i="7" s="1"/>
  <c r="E13" i="7" s="1"/>
  <c r="F13" i="7" s="1"/>
  <c r="G13" i="7" s="1"/>
  <c r="H13" i="7" s="1"/>
  <c r="I13" i="7" s="1"/>
  <c r="J13" i="7" s="1"/>
  <c r="K13" i="7" s="1"/>
  <c r="B10" i="7"/>
  <c r="C10" i="7" s="1"/>
  <c r="D10" i="7" s="1"/>
  <c r="E10" i="7" s="1"/>
  <c r="F10" i="7" s="1"/>
  <c r="G10" i="7" s="1"/>
  <c r="H10" i="7" s="1"/>
  <c r="I10" i="7" s="1"/>
  <c r="J10" i="7" s="1"/>
  <c r="K10" i="7" s="1"/>
  <c r="B11" i="7"/>
  <c r="C11" i="7" s="1"/>
  <c r="D11" i="7" s="1"/>
  <c r="E11" i="7" s="1"/>
  <c r="F11" i="7" s="1"/>
  <c r="G11" i="7" s="1"/>
  <c r="H11" i="7" s="1"/>
  <c r="I11" i="7" s="1"/>
  <c r="J11" i="7" s="1"/>
  <c r="K11" i="7" s="1"/>
  <c r="B12" i="7"/>
  <c r="B13" i="7"/>
  <c r="B14" i="7"/>
  <c r="C14" i="7" s="1"/>
  <c r="D14" i="7" s="1"/>
  <c r="E14" i="7" s="1"/>
  <c r="F14" i="7" s="1"/>
  <c r="G14" i="7" s="1"/>
  <c r="H14" i="7" s="1"/>
  <c r="I14" i="7" s="1"/>
  <c r="J14" i="7" s="1"/>
  <c r="K14" i="7" s="1"/>
  <c r="B15" i="7"/>
  <c r="C15" i="7" s="1"/>
  <c r="D15" i="7" s="1"/>
  <c r="E15" i="7" s="1"/>
  <c r="F15" i="7" s="1"/>
  <c r="G15" i="7" s="1"/>
  <c r="H15" i="7" s="1"/>
  <c r="I15" i="7" s="1"/>
  <c r="J15" i="7" s="1"/>
  <c r="K15" i="7" s="1"/>
  <c r="B16" i="7"/>
  <c r="C16" i="7" s="1"/>
  <c r="D16" i="7" s="1"/>
  <c r="E16" i="7" s="1"/>
  <c r="F16" i="7" s="1"/>
  <c r="G16" i="7" s="1"/>
  <c r="H16" i="7" s="1"/>
  <c r="I16" i="7" s="1"/>
  <c r="J16" i="7" s="1"/>
  <c r="K16" i="7" s="1"/>
  <c r="B17" i="7"/>
  <c r="C17" i="7" s="1"/>
  <c r="D17" i="7" s="1"/>
  <c r="E17" i="7" s="1"/>
  <c r="F17" i="7" s="1"/>
  <c r="G17" i="7" s="1"/>
  <c r="H17" i="7" s="1"/>
  <c r="I17" i="7" s="1"/>
  <c r="J17" i="7" s="1"/>
  <c r="K17" i="7" s="1"/>
  <c r="B18" i="7"/>
  <c r="C18" i="7" s="1"/>
  <c r="D18" i="7" s="1"/>
  <c r="E18" i="7" s="1"/>
  <c r="F18" i="7" s="1"/>
  <c r="G18" i="7" s="1"/>
  <c r="H18" i="7" s="1"/>
  <c r="I18" i="7" s="1"/>
  <c r="J18" i="7" s="1"/>
  <c r="K18" i="7" s="1"/>
  <c r="B9" i="7"/>
  <c r="C9" i="7" s="1"/>
  <c r="D9" i="7" s="1"/>
  <c r="E9" i="7" s="1"/>
  <c r="F9" i="7" s="1"/>
  <c r="G9" i="7" s="1"/>
  <c r="H9" i="7" s="1"/>
  <c r="I9" i="7" s="1"/>
  <c r="J9" i="7" s="1"/>
  <c r="K9" i="7" s="1"/>
  <c r="B5" i="3"/>
  <c r="B6" i="3"/>
  <c r="B7" i="3"/>
  <c r="B4" i="3"/>
  <c r="A4" i="3"/>
  <c r="F14" i="8" l="1"/>
  <c r="F16" i="8" s="1"/>
  <c r="F7" i="8" s="1"/>
  <c r="C15" i="5"/>
  <c r="E15" i="5" s="1"/>
  <c r="B15" i="5"/>
  <c r="D15" i="5" s="1"/>
  <c r="C14" i="5"/>
  <c r="E14" i="5" s="1"/>
  <c r="B14" i="5"/>
  <c r="D14" i="5" s="1"/>
  <c r="C13" i="5"/>
  <c r="E13" i="5" s="1"/>
  <c r="B13" i="5"/>
  <c r="D13" i="5" s="1"/>
  <c r="C12" i="5"/>
  <c r="E12" i="5" s="1"/>
  <c r="B12" i="5"/>
  <c r="D12" i="5" s="1"/>
  <c r="C11" i="5"/>
  <c r="E11" i="5" s="1"/>
  <c r="B11" i="5"/>
  <c r="D11" i="5" s="1"/>
  <c r="C10" i="5"/>
  <c r="E10" i="5" s="1"/>
  <c r="B10" i="5"/>
  <c r="D10" i="5" s="1"/>
  <c r="C9" i="5"/>
  <c r="E9" i="5" s="1"/>
  <c r="B9" i="5"/>
  <c r="D9" i="5" s="1"/>
  <c r="C8" i="5"/>
  <c r="E8" i="5" s="1"/>
  <c r="B8" i="5"/>
  <c r="D8" i="5" s="1"/>
  <c r="C7" i="5"/>
  <c r="E7" i="5" s="1"/>
  <c r="B7" i="5"/>
  <c r="D7" i="5" s="1"/>
  <c r="C6" i="5"/>
  <c r="E6" i="5" s="1"/>
  <c r="B6" i="5"/>
  <c r="D6" i="5" s="1"/>
  <c r="C5" i="5"/>
  <c r="E5" i="5" s="1"/>
  <c r="B5" i="5"/>
  <c r="D5" i="5" s="1"/>
  <c r="C4" i="5"/>
  <c r="E4" i="5" s="1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<sst xmlns="http://schemas.openxmlformats.org/spreadsheetml/2006/main" count="54" uniqueCount="52">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</sst>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8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Border="1" applyAlignment="1">
      <alignment horizontal="center" wrapText="1"/>
    </xf>
    <xf numFmtId="0" fontId="11" fillId="0" borderId="0" xfId="5" applyFont="1" applyBorder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0" fontId="0" fillId="0" borderId="0" xfId="0" applyBorder="1"/>
    <xf numFmtId="2" fontId="8" fillId="3" borderId="2" xfId="6" applyNumberFormat="1" applyFont="1" applyFill="1" applyBorder="1" applyAlignment="1">
      <alignment horizontal="center"/>
    </xf>
    <xf numFmtId="43" fontId="0" fillId="3" borderId="2" xfId="0" applyNumberFormat="1" applyFill="1" applyBorder="1"/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Border="1" applyAlignment="1">
      <alignment horizontal="center" vertical="center" wrapText="1"/>
    </xf>
    <xf numFmtId="0" fontId="11" fillId="0" borderId="0" xfId="5" applyFont="1" applyBorder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tabSelected="1" zoomScale="188" workbookViewId="0">
      <selection activeCell="B4" sqref="B4"/>
    </sheetView>
  </sheetViews>
  <sheetFormatPr defaultColWidth="8.85546875" defaultRowHeight="18" x14ac:dyDescent="0.25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37" t="s">
        <v>30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.75" thickTop="1" x14ac:dyDescent="0.25"/>
    <row r="3" spans="1:22" ht="26.45" customHeight="1" x14ac:dyDescent="0.25">
      <c r="A3" s="2" t="s">
        <v>0</v>
      </c>
      <c r="B3" s="2" t="s">
        <v>31</v>
      </c>
    </row>
    <row r="4" spans="1:22" x14ac:dyDescent="0.25">
      <c r="A4" s="4">
        <f>1</f>
        <v>1</v>
      </c>
      <c r="B4" s="35">
        <f>IF(A4&gt;=3,(3*3)+(2.9*(A4-3)),3*A4)</f>
        <v>3</v>
      </c>
    </row>
    <row r="5" spans="1:22" x14ac:dyDescent="0.25">
      <c r="A5" s="4">
        <v>2</v>
      </c>
      <c r="B5" s="35">
        <f t="shared" ref="B5:B7" si="0">IF(A5&gt;=3,(3*3)+(2.9*(A5-3)),3*A5)</f>
        <v>6</v>
      </c>
    </row>
    <row r="6" spans="1:22" x14ac:dyDescent="0.25">
      <c r="A6" s="4">
        <v>3</v>
      </c>
      <c r="B6" s="35">
        <f t="shared" si="0"/>
        <v>9</v>
      </c>
    </row>
    <row r="7" spans="1:22" x14ac:dyDescent="0.25">
      <c r="A7" s="4">
        <v>4</v>
      </c>
      <c r="B7" s="35">
        <f t="shared" si="0"/>
        <v>11.9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K18" sqref="K18"/>
    </sheetView>
  </sheetViews>
  <sheetFormatPr defaultColWidth="8.85546875" defaultRowHeight="15" x14ac:dyDescent="0.25"/>
  <cols>
    <col min="1" max="1" width="6.28515625" customWidth="1"/>
  </cols>
  <sheetData>
    <row r="1" spans="1:13" ht="20.25" customHeight="1" x14ac:dyDescent="0.3">
      <c r="A1" s="29" t="s">
        <v>35</v>
      </c>
      <c r="B1" s="29"/>
      <c r="C1" s="29"/>
      <c r="D1" s="29"/>
      <c r="E1" s="29"/>
      <c r="F1" s="29"/>
      <c r="G1" s="29"/>
      <c r="H1" s="29"/>
      <c r="I1" s="28"/>
      <c r="J1" s="28"/>
      <c r="K1" s="28"/>
      <c r="L1" s="28"/>
      <c r="M1" s="28"/>
    </row>
    <row r="2" spans="1:13" ht="20.25" customHeight="1" x14ac:dyDescent="0.3">
      <c r="A2" s="39" t="s">
        <v>50</v>
      </c>
      <c r="B2" s="39"/>
      <c r="C2" s="39"/>
      <c r="D2" s="39"/>
      <c r="E2" s="39"/>
      <c r="F2" s="39"/>
      <c r="G2" s="29">
        <v>24</v>
      </c>
      <c r="H2" s="29"/>
      <c r="I2" s="28"/>
      <c r="J2" s="28"/>
      <c r="K2" s="28"/>
      <c r="L2" s="28"/>
      <c r="M2" s="28"/>
    </row>
    <row r="3" spans="1:13" ht="20.25" customHeight="1" x14ac:dyDescent="0.3">
      <c r="A3" s="40" t="s">
        <v>51</v>
      </c>
      <c r="B3" s="40"/>
      <c r="C3" s="40"/>
      <c r="D3" s="40"/>
      <c r="E3" s="40"/>
      <c r="F3" s="29"/>
      <c r="G3" s="29"/>
      <c r="H3" s="29"/>
      <c r="I3" s="28"/>
      <c r="J3" s="28"/>
      <c r="K3" s="28"/>
      <c r="L3" s="28"/>
      <c r="M3" s="28"/>
    </row>
    <row r="4" spans="1:13" ht="20.25" customHeight="1" x14ac:dyDescent="0.3">
      <c r="A4" s="40" t="s">
        <v>36</v>
      </c>
      <c r="B4" s="40"/>
      <c r="C4" s="40"/>
      <c r="D4" s="40"/>
      <c r="E4" s="29"/>
      <c r="F4" s="29"/>
      <c r="G4" s="29"/>
      <c r="H4" s="29"/>
      <c r="I4" s="28"/>
      <c r="J4" s="28"/>
      <c r="K4" s="28"/>
      <c r="L4" s="28"/>
      <c r="M4" s="28"/>
    </row>
    <row r="5" spans="1:13" ht="20.25" customHeight="1" thickBot="1" x14ac:dyDescent="0.35">
      <c r="A5" s="41" t="s">
        <v>37</v>
      </c>
      <c r="B5" s="41"/>
      <c r="C5" s="41"/>
      <c r="D5" s="41"/>
      <c r="E5" s="41"/>
      <c r="F5" s="41"/>
      <c r="G5" s="41"/>
      <c r="H5" s="41"/>
      <c r="I5" s="24"/>
      <c r="J5" s="24"/>
      <c r="K5" s="24"/>
      <c r="L5" s="24"/>
      <c r="M5" s="24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5" t="s">
        <v>38</v>
      </c>
      <c r="B8" s="26">
        <v>1</v>
      </c>
      <c r="C8" s="26">
        <v>3</v>
      </c>
      <c r="D8" s="26">
        <v>5</v>
      </c>
      <c r="E8" s="26">
        <v>7</v>
      </c>
      <c r="F8" s="26">
        <v>9</v>
      </c>
      <c r="G8" s="26">
        <v>11</v>
      </c>
      <c r="H8" s="26">
        <v>13</v>
      </c>
      <c r="I8" s="26">
        <v>15</v>
      </c>
      <c r="J8" s="26">
        <v>17</v>
      </c>
      <c r="K8" s="26">
        <v>19</v>
      </c>
    </row>
    <row r="9" spans="1:13" x14ac:dyDescent="0.25">
      <c r="A9" s="27">
        <v>2</v>
      </c>
      <c r="B9" s="30">
        <f>A9*A9+B8*B8-2*A9*B8*COS(24)</f>
        <v>3.3032839706520121</v>
      </c>
      <c r="C9" s="30">
        <f t="shared" ref="C9:K9" si="0">B9*B9+C8*C8-2*B9*C8*COS(24)</f>
        <v>11.504582697026219</v>
      </c>
      <c r="D9" s="30">
        <f t="shared" si="0"/>
        <v>108.55539835020534</v>
      </c>
      <c r="E9" s="30">
        <f t="shared" si="0"/>
        <v>11188.617615386091</v>
      </c>
      <c r="F9" s="30">
        <f t="shared" si="0"/>
        <v>125099817.5624837</v>
      </c>
      <c r="G9" s="30">
        <f t="shared" si="0"/>
        <v>1.5649963186743062E+16</v>
      </c>
      <c r="H9" s="30">
        <f t="shared" si="0"/>
        <v>2.4492134774641288E+32</v>
      </c>
      <c r="I9" s="30">
        <f t="shared" si="0"/>
        <v>5.9986466581919311E+64</v>
      </c>
      <c r="J9" s="30">
        <f t="shared" si="0"/>
        <v>3.5983761729837223E+129</v>
      </c>
      <c r="K9" s="30">
        <f t="shared" si="0"/>
        <v>1.2948311082296979E+259</v>
      </c>
    </row>
    <row r="10" spans="1:13" x14ac:dyDescent="0.25">
      <c r="A10" s="27">
        <v>4</v>
      </c>
      <c r="B10" s="30">
        <f>A10*A10+B8*B8-2*A10*B8*COS(24)</f>
        <v>13.606567941304025</v>
      </c>
      <c r="C10" s="30">
        <f t="shared" ref="C10:K10" si="1">B10*B10+C8*C8-2*B10*C8*COS(24)</f>
        <v>159.50896824568795</v>
      </c>
      <c r="D10" s="30">
        <f t="shared" si="1"/>
        <v>24791.507392685842</v>
      </c>
      <c r="E10" s="30">
        <f t="shared" si="1"/>
        <v>614471663.28364968</v>
      </c>
      <c r="F10" s="30">
        <f t="shared" si="1"/>
        <v>3.7757542028694739E+17</v>
      </c>
      <c r="G10" s="30">
        <f t="shared" si="1"/>
        <v>1.4256319800486496E+35</v>
      </c>
      <c r="H10" s="30">
        <f t="shared" si="1"/>
        <v>2.0324265425374332E+70</v>
      </c>
      <c r="I10" s="30">
        <f t="shared" si="1"/>
        <v>4.1307576508106646E+140</v>
      </c>
      <c r="J10" s="30">
        <f t="shared" si="1"/>
        <v>1.7063158769730841E+281</v>
      </c>
      <c r="K10" s="30" t="e">
        <f t="shared" si="1"/>
        <v>#NUM!</v>
      </c>
    </row>
    <row r="11" spans="1:13" x14ac:dyDescent="0.25">
      <c r="A11" s="27">
        <v>6</v>
      </c>
      <c r="B11" s="30">
        <f>A11*A11+B8*B8-2*A11*B8*COS(24)</f>
        <v>31.909851911956036</v>
      </c>
      <c r="C11" s="30">
        <f t="shared" ref="C11:K11" si="2">B11*B11+C8*C8-2*B11*C8*COS(24)</f>
        <v>946.02571319325989</v>
      </c>
      <c r="D11" s="30">
        <f t="shared" si="2"/>
        <v>890976.80754344014</v>
      </c>
      <c r="E11" s="30">
        <f t="shared" si="2"/>
        <v>793834380558.09143</v>
      </c>
      <c r="F11" s="30">
        <f t="shared" si="2"/>
        <v>6.3017302374998756E+23</v>
      </c>
      <c r="G11" s="30">
        <f t="shared" si="2"/>
        <v>3.9711803986220238E+47</v>
      </c>
      <c r="H11" s="30">
        <f t="shared" si="2"/>
        <v>1.5770273758399775E+95</v>
      </c>
      <c r="I11" s="30">
        <f t="shared" si="2"/>
        <v>2.4870153441487257E+190</v>
      </c>
      <c r="J11" s="30" t="e">
        <f t="shared" si="2"/>
        <v>#NUM!</v>
      </c>
      <c r="K11" s="30" t="e">
        <f t="shared" si="2"/>
        <v>#NUM!</v>
      </c>
    </row>
    <row r="12" spans="1:13" x14ac:dyDescent="0.25">
      <c r="A12" s="27">
        <v>8</v>
      </c>
      <c r="B12" s="30">
        <f>A12*A12+B8*B8-2*A12*B8*COS(24)</f>
        <v>58.21313588260805</v>
      </c>
      <c r="C12" s="30">
        <f t="shared" ref="C12:K12" si="3">B12*B12+C8*C8-2*B12*C8*COS(24)</f>
        <v>3249.6124481310385</v>
      </c>
      <c r="D12" s="30">
        <f t="shared" si="3"/>
        <v>10546221.889223419</v>
      </c>
      <c r="E12" s="30">
        <f t="shared" si="3"/>
        <v>111222733507981.14</v>
      </c>
      <c r="F12" s="30">
        <f t="shared" si="3"/>
        <v>1.2370496448986541E+28</v>
      </c>
      <c r="G12" s="30">
        <f t="shared" si="3"/>
        <v>1.5302918239438861E+56</v>
      </c>
      <c r="H12" s="30">
        <f t="shared" si="3"/>
        <v>2.3417930664295059E+112</v>
      </c>
      <c r="I12" s="30">
        <f t="shared" si="3"/>
        <v>5.4839947659773082E+224</v>
      </c>
      <c r="J12" s="30" t="e">
        <f t="shared" si="3"/>
        <v>#NUM!</v>
      </c>
      <c r="K12" s="30" t="e">
        <f t="shared" si="3"/>
        <v>#NUM!</v>
      </c>
    </row>
    <row r="13" spans="1:13" x14ac:dyDescent="0.25">
      <c r="A13" s="27">
        <v>10</v>
      </c>
      <c r="B13" s="30">
        <f>A13*A13+B8*B8-2*A13*B8*COS(24)</f>
        <v>92.516419853260061</v>
      </c>
      <c r="C13" s="30">
        <f t="shared" ref="C13:K13" si="4">B13*B13+C8*C8-2*B13*C8*COS(24)</f>
        <v>8332.8268036503196</v>
      </c>
      <c r="D13" s="30">
        <f t="shared" si="4"/>
        <v>69400681.437614366</v>
      </c>
      <c r="E13" s="30">
        <f t="shared" si="4"/>
        <v>4816454171868910</v>
      </c>
      <c r="F13" s="30">
        <f t="shared" si="4"/>
        <v>2.3198230789713391E+31</v>
      </c>
      <c r="G13" s="30">
        <f t="shared" si="4"/>
        <v>5.3815791177280642E+62</v>
      </c>
      <c r="H13" s="30">
        <f t="shared" si="4"/>
        <v>2.8961393800366769E+125</v>
      </c>
      <c r="I13" s="30">
        <f t="shared" si="4"/>
        <v>8.3876233085992275E+250</v>
      </c>
      <c r="J13" s="30" t="e">
        <f t="shared" si="4"/>
        <v>#NUM!</v>
      </c>
      <c r="K13" s="30" t="e">
        <f t="shared" si="4"/>
        <v>#NUM!</v>
      </c>
    </row>
    <row r="14" spans="1:13" x14ac:dyDescent="0.25">
      <c r="A14" s="27">
        <v>12</v>
      </c>
      <c r="B14" s="30">
        <f>A14*A14+B8*B8-2*A14*B8*COS(24)</f>
        <v>134.81970382391208</v>
      </c>
      <c r="C14" s="30">
        <f t="shared" ref="C14:K14" si="5">B14*B14+C8*C8-2*B14*C8*COS(24)</f>
        <v>17842.226410342402</v>
      </c>
      <c r="D14" s="30">
        <f t="shared" si="5"/>
        <v>318269385.29904574</v>
      </c>
      <c r="E14" s="30">
        <f t="shared" si="5"/>
        <v>1.0129539972858779E+17</v>
      </c>
      <c r="F14" s="30">
        <f t="shared" si="5"/>
        <v>1.0260758006174383E+34</v>
      </c>
      <c r="G14" s="30">
        <f t="shared" si="5"/>
        <v>1.052831548612717E+68</v>
      </c>
      <c r="H14" s="30">
        <f t="shared" si="5"/>
        <v>1.1084542697542519E+136</v>
      </c>
      <c r="I14" s="30">
        <f t="shared" si="5"/>
        <v>1.2286708681364317E+272</v>
      </c>
      <c r="J14" s="30" t="e">
        <f t="shared" si="5"/>
        <v>#NUM!</v>
      </c>
      <c r="K14" s="30" t="e">
        <f t="shared" si="5"/>
        <v>#NUM!</v>
      </c>
    </row>
    <row r="15" spans="1:13" x14ac:dyDescent="0.25">
      <c r="A15" s="27">
        <v>14</v>
      </c>
      <c r="B15" s="30">
        <f>A15*A15+B8*B8-2*A15*B8*COS(24)</f>
        <v>185.1229877945641</v>
      </c>
      <c r="C15" s="30">
        <f t="shared" ref="C15:K15" si="6">B15*B15+C8*C8-2*B15*C8*COS(24)</f>
        <v>33808.368898798588</v>
      </c>
      <c r="D15" s="30">
        <f t="shared" si="6"/>
        <v>1142862424.5936599</v>
      </c>
      <c r="E15" s="30">
        <f t="shared" si="6"/>
        <v>1.3061345147612035E+18</v>
      </c>
      <c r="F15" s="30">
        <f t="shared" si="6"/>
        <v>1.7059873706504844E+36</v>
      </c>
      <c r="G15" s="30">
        <f t="shared" si="6"/>
        <v>2.9103929088189532E+72</v>
      </c>
      <c r="H15" s="30">
        <f t="shared" si="6"/>
        <v>8.4703868837036484E+144</v>
      </c>
      <c r="I15" s="30">
        <f t="shared" si="6"/>
        <v>7.1747453959618801E+289</v>
      </c>
      <c r="J15" s="30" t="e">
        <f t="shared" si="6"/>
        <v>#NUM!</v>
      </c>
      <c r="K15" s="30" t="e">
        <f t="shared" si="6"/>
        <v>#NUM!</v>
      </c>
    </row>
    <row r="16" spans="1:13" x14ac:dyDescent="0.25">
      <c r="A16" s="27">
        <v>16</v>
      </c>
      <c r="B16" s="30">
        <f>A16*A16+B8*B8-2*A16*B8*COS(24)</f>
        <v>243.42627176521609</v>
      </c>
      <c r="C16" s="30">
        <f t="shared" ref="C16:K16" si="7">B16*B16+C8*C8-2*B16*C8*COS(24)</f>
        <v>58645.811899610148</v>
      </c>
      <c r="D16" s="30">
        <f t="shared" si="7"/>
        <v>3439082515.1416945</v>
      </c>
      <c r="E16" s="30">
        <f t="shared" si="7"/>
        <v>1.1827288525530311E+19</v>
      </c>
      <c r="F16" s="30">
        <f t="shared" si="7"/>
        <v>1.3988475386614096E+38</v>
      </c>
      <c r="G16" s="30">
        <f t="shared" si="7"/>
        <v>1.9567744364190838E+76</v>
      </c>
      <c r="H16" s="30">
        <f t="shared" si="7"/>
        <v>3.8289661950232234E+152</v>
      </c>
      <c r="I16" s="30">
        <f t="shared" si="7"/>
        <v>1.4660982122630621E+305</v>
      </c>
      <c r="J16" s="30" t="e">
        <f t="shared" si="7"/>
        <v>#NUM!</v>
      </c>
      <c r="K16" s="30" t="e">
        <f t="shared" si="7"/>
        <v>#NUM!</v>
      </c>
    </row>
    <row r="17" spans="1:11" x14ac:dyDescent="0.25">
      <c r="A17" s="27">
        <v>18</v>
      </c>
      <c r="B17" s="30">
        <f>A17*A17+B8*B8-2*A17*B8*COS(24)</f>
        <v>309.72955573586813</v>
      </c>
      <c r="C17" s="30">
        <f t="shared" ref="C17:K17" si="8">B17*B17+C8*C8-2*B17*C8*COS(24)</f>
        <v>95153.11304336843</v>
      </c>
      <c r="D17" s="30">
        <f t="shared" si="8"/>
        <v>9053711327.313694</v>
      </c>
      <c r="E17" s="30">
        <f t="shared" si="8"/>
        <v>8.196968874456277E+19</v>
      </c>
      <c r="F17" s="30">
        <f t="shared" si="8"/>
        <v>6.7190298728805004E+39</v>
      </c>
      <c r="G17" s="30">
        <f t="shared" si="8"/>
        <v>4.5145362432660555E+79</v>
      </c>
      <c r="H17" s="30">
        <f t="shared" si="8"/>
        <v>2.0381037491762788E+159</v>
      </c>
      <c r="I17" s="30" t="e">
        <f t="shared" si="8"/>
        <v>#NUM!</v>
      </c>
      <c r="J17" s="30" t="e">
        <f t="shared" si="8"/>
        <v>#NUM!</v>
      </c>
      <c r="K17" s="30" t="e">
        <f t="shared" si="8"/>
        <v>#NUM!</v>
      </c>
    </row>
    <row r="18" spans="1:11" x14ac:dyDescent="0.25">
      <c r="A18" s="27">
        <v>20</v>
      </c>
      <c r="B18" s="30">
        <f>A18*A18+B8*B8-2*A18*B8*COS(24)</f>
        <v>384.03283970652012</v>
      </c>
      <c r="C18" s="30">
        <f t="shared" ref="C18:K18" si="9">B18*B18+C8*C8-2*B18*C8*COS(24)</f>
        <v>146512.82996066468</v>
      </c>
      <c r="D18" s="30">
        <f t="shared" si="9"/>
        <v>21465387891.414894</v>
      </c>
      <c r="E18" s="30">
        <f t="shared" si="9"/>
        <v>4.6076287720142877E+20</v>
      </c>
      <c r="F18" s="30">
        <f t="shared" si="9"/>
        <v>2.1230242900693894E+41</v>
      </c>
      <c r="G18" s="30">
        <f t="shared" si="9"/>
        <v>4.5072321362246352E+82</v>
      </c>
      <c r="H18" s="30">
        <f t="shared" si="9"/>
        <v>2.031514152981609E+165</v>
      </c>
      <c r="I18" s="30" t="e">
        <f t="shared" si="9"/>
        <v>#NUM!</v>
      </c>
      <c r="J18" s="30" t="e">
        <f t="shared" si="9"/>
        <v>#NUM!</v>
      </c>
      <c r="K18" s="30" t="e">
        <f t="shared" si="9"/>
        <v>#NUM!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5" sqref="G5:G8"/>
    </sheetView>
  </sheetViews>
  <sheetFormatPr defaultColWidth="8.85546875" defaultRowHeight="18" x14ac:dyDescent="0.25"/>
  <cols>
    <col min="1" max="3" width="8.85546875" style="6"/>
    <col min="4" max="6" width="10.8554687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 x14ac:dyDescent="0.3">
      <c r="A1" s="37" t="s">
        <v>32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.75" thickTop="1" x14ac:dyDescent="0.25"/>
    <row r="3" spans="1:22" x14ac:dyDescent="0.25">
      <c r="A3" s="42" t="s">
        <v>20</v>
      </c>
      <c r="B3" s="43"/>
      <c r="C3" s="44"/>
      <c r="D3" s="42" t="s">
        <v>22</v>
      </c>
      <c r="E3" s="43"/>
      <c r="F3" s="44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2" t="str">
        <f>IF(A5+B5&gt;C5,"ir spēkā","nav spēkā")</f>
        <v>ir spēkā</v>
      </c>
      <c r="E5" s="22" t="str">
        <f>IF(A5=C5&gt;B5,"ir spēkā","nav spēkā")</f>
        <v>ir spēkā</v>
      </c>
      <c r="F5" s="22" t="str">
        <f>IF(B5+C5&gt;A5,"ir spēkā","nav spēkā")</f>
        <v>ir spēkā</v>
      </c>
      <c r="G5" s="23" t="str">
        <f>IF(AND(D5="ir spēkā", E5="ir spēkā", F5="ir spēkā"),"jā","nē")</f>
        <v>jā</v>
      </c>
    </row>
    <row r="6" spans="1:22" x14ac:dyDescent="0.25">
      <c r="A6" s="8">
        <v>4</v>
      </c>
      <c r="B6" s="8">
        <v>2</v>
      </c>
      <c r="C6" s="8">
        <v>2</v>
      </c>
      <c r="D6" s="22" t="str">
        <f t="shared" ref="D6:D8" si="0">IF(A6+B6&gt;C6,"ir spēkā","nav spēkā")</f>
        <v>ir spēkā</v>
      </c>
      <c r="E6" s="22" t="str">
        <f t="shared" ref="E6:E7" si="1">IF(A6=C6&gt;B6,"ir spēkā","nav spēkā")</f>
        <v>ir spēkā</v>
      </c>
      <c r="F6" s="22" t="str">
        <f t="shared" ref="F6:F8" si="2">IF(B6+C6&gt;A6,"ir spēkā","nav spēkā")</f>
        <v>nav spēkā</v>
      </c>
      <c r="G6" s="23" t="str">
        <f t="shared" ref="G6:G8" si="3">IF(AND(D6="ir spēkā", E6="ir spēkā", F6="ir spēkā"),"jā","nē")</f>
        <v>nē</v>
      </c>
    </row>
    <row r="7" spans="1:22" x14ac:dyDescent="0.25">
      <c r="A7" s="8">
        <v>1</v>
      </c>
      <c r="B7" s="8">
        <v>2</v>
      </c>
      <c r="C7" s="8">
        <v>3</v>
      </c>
      <c r="D7" s="22" t="str">
        <f t="shared" si="0"/>
        <v>nav spēkā</v>
      </c>
      <c r="E7" s="22" t="str">
        <f t="shared" si="1"/>
        <v>ir spēkā</v>
      </c>
      <c r="F7" s="22" t="str">
        <f t="shared" si="2"/>
        <v>ir spēkā</v>
      </c>
      <c r="G7" s="23" t="str">
        <f t="shared" si="3"/>
        <v>nē</v>
      </c>
    </row>
    <row r="8" spans="1:22" x14ac:dyDescent="0.25">
      <c r="A8" s="8">
        <v>20</v>
      </c>
      <c r="B8" s="8">
        <v>14</v>
      </c>
      <c r="C8" s="8">
        <v>12</v>
      </c>
      <c r="D8" s="22" t="str">
        <f t="shared" si="0"/>
        <v>ir spēkā</v>
      </c>
      <c r="E8" s="22" t="str">
        <f>IF(A8=C8&gt;B8,"ir spēkā","nav spēkā")</f>
        <v>ir spēkā</v>
      </c>
      <c r="F8" s="22" t="str">
        <f t="shared" si="2"/>
        <v>ir spēkā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E5" sqref="E5"/>
    </sheetView>
  </sheetViews>
  <sheetFormatPr defaultColWidth="8.85546875" defaultRowHeight="18" x14ac:dyDescent="0.25"/>
  <cols>
    <col min="1" max="1" width="17" style="14" customWidth="1"/>
    <col min="2" max="2" width="15.140625" style="14" customWidth="1"/>
    <col min="3" max="3" width="11.42578125" style="14" customWidth="1"/>
    <col min="4" max="4" width="17" style="14" customWidth="1"/>
    <col min="5" max="5" width="21.85546875" style="14" customWidth="1"/>
    <col min="6" max="6" width="13" style="14" customWidth="1"/>
    <col min="7" max="7" width="9.42578125" style="14" customWidth="1"/>
    <col min="8" max="8" width="7.140625" style="14" customWidth="1"/>
    <col min="9" max="9" width="9.42578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42578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42578125" style="14" customWidth="1"/>
    <col min="261" max="261" width="13.140625" style="14" customWidth="1"/>
    <col min="262" max="262" width="13" style="14" customWidth="1"/>
    <col min="263" max="263" width="9.42578125" style="14" customWidth="1"/>
    <col min="264" max="264" width="7.140625" style="14" customWidth="1"/>
    <col min="265" max="265" width="9.42578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42578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42578125" style="14" customWidth="1"/>
    <col min="517" max="517" width="13.140625" style="14" customWidth="1"/>
    <col min="518" max="518" width="13" style="14" customWidth="1"/>
    <col min="519" max="519" width="9.42578125" style="14" customWidth="1"/>
    <col min="520" max="520" width="7.140625" style="14" customWidth="1"/>
    <col min="521" max="521" width="9.42578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42578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42578125" style="14" customWidth="1"/>
    <col min="773" max="773" width="13.140625" style="14" customWidth="1"/>
    <col min="774" max="774" width="13" style="14" customWidth="1"/>
    <col min="775" max="775" width="9.42578125" style="14" customWidth="1"/>
    <col min="776" max="776" width="7.140625" style="14" customWidth="1"/>
    <col min="777" max="777" width="9.42578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42578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42578125" style="14" customWidth="1"/>
    <col min="1029" max="1029" width="13.140625" style="14" customWidth="1"/>
    <col min="1030" max="1030" width="13" style="14" customWidth="1"/>
    <col min="1031" max="1031" width="9.42578125" style="14" customWidth="1"/>
    <col min="1032" max="1032" width="7.140625" style="14" customWidth="1"/>
    <col min="1033" max="1033" width="9.42578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42578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42578125" style="14" customWidth="1"/>
    <col min="1285" max="1285" width="13.140625" style="14" customWidth="1"/>
    <col min="1286" max="1286" width="13" style="14" customWidth="1"/>
    <col min="1287" max="1287" width="9.42578125" style="14" customWidth="1"/>
    <col min="1288" max="1288" width="7.140625" style="14" customWidth="1"/>
    <col min="1289" max="1289" width="9.42578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42578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42578125" style="14" customWidth="1"/>
    <col min="1541" max="1541" width="13.140625" style="14" customWidth="1"/>
    <col min="1542" max="1542" width="13" style="14" customWidth="1"/>
    <col min="1543" max="1543" width="9.42578125" style="14" customWidth="1"/>
    <col min="1544" max="1544" width="7.140625" style="14" customWidth="1"/>
    <col min="1545" max="1545" width="9.42578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42578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42578125" style="14" customWidth="1"/>
    <col min="1797" max="1797" width="13.140625" style="14" customWidth="1"/>
    <col min="1798" max="1798" width="13" style="14" customWidth="1"/>
    <col min="1799" max="1799" width="9.42578125" style="14" customWidth="1"/>
    <col min="1800" max="1800" width="7.140625" style="14" customWidth="1"/>
    <col min="1801" max="1801" width="9.42578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42578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42578125" style="14" customWidth="1"/>
    <col min="2053" max="2053" width="13.140625" style="14" customWidth="1"/>
    <col min="2054" max="2054" width="13" style="14" customWidth="1"/>
    <col min="2055" max="2055" width="9.42578125" style="14" customWidth="1"/>
    <col min="2056" max="2056" width="7.140625" style="14" customWidth="1"/>
    <col min="2057" max="2057" width="9.42578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42578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42578125" style="14" customWidth="1"/>
    <col min="2309" max="2309" width="13.140625" style="14" customWidth="1"/>
    <col min="2310" max="2310" width="13" style="14" customWidth="1"/>
    <col min="2311" max="2311" width="9.42578125" style="14" customWidth="1"/>
    <col min="2312" max="2312" width="7.140625" style="14" customWidth="1"/>
    <col min="2313" max="2313" width="9.42578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42578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42578125" style="14" customWidth="1"/>
    <col min="2565" max="2565" width="13.140625" style="14" customWidth="1"/>
    <col min="2566" max="2566" width="13" style="14" customWidth="1"/>
    <col min="2567" max="2567" width="9.42578125" style="14" customWidth="1"/>
    <col min="2568" max="2568" width="7.140625" style="14" customWidth="1"/>
    <col min="2569" max="2569" width="9.42578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42578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42578125" style="14" customWidth="1"/>
    <col min="2821" max="2821" width="13.140625" style="14" customWidth="1"/>
    <col min="2822" max="2822" width="13" style="14" customWidth="1"/>
    <col min="2823" max="2823" width="9.42578125" style="14" customWidth="1"/>
    <col min="2824" max="2824" width="7.140625" style="14" customWidth="1"/>
    <col min="2825" max="2825" width="9.42578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42578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42578125" style="14" customWidth="1"/>
    <col min="3077" max="3077" width="13.140625" style="14" customWidth="1"/>
    <col min="3078" max="3078" width="13" style="14" customWidth="1"/>
    <col min="3079" max="3079" width="9.42578125" style="14" customWidth="1"/>
    <col min="3080" max="3080" width="7.140625" style="14" customWidth="1"/>
    <col min="3081" max="3081" width="9.42578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42578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42578125" style="14" customWidth="1"/>
    <col min="3333" max="3333" width="13.140625" style="14" customWidth="1"/>
    <col min="3334" max="3334" width="13" style="14" customWidth="1"/>
    <col min="3335" max="3335" width="9.42578125" style="14" customWidth="1"/>
    <col min="3336" max="3336" width="7.140625" style="14" customWidth="1"/>
    <col min="3337" max="3337" width="9.42578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42578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42578125" style="14" customWidth="1"/>
    <col min="3589" max="3589" width="13.140625" style="14" customWidth="1"/>
    <col min="3590" max="3590" width="13" style="14" customWidth="1"/>
    <col min="3591" max="3591" width="9.42578125" style="14" customWidth="1"/>
    <col min="3592" max="3592" width="7.140625" style="14" customWidth="1"/>
    <col min="3593" max="3593" width="9.42578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42578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42578125" style="14" customWidth="1"/>
    <col min="3845" max="3845" width="13.140625" style="14" customWidth="1"/>
    <col min="3846" max="3846" width="13" style="14" customWidth="1"/>
    <col min="3847" max="3847" width="9.42578125" style="14" customWidth="1"/>
    <col min="3848" max="3848" width="7.140625" style="14" customWidth="1"/>
    <col min="3849" max="3849" width="9.42578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42578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42578125" style="14" customWidth="1"/>
    <col min="4101" max="4101" width="13.140625" style="14" customWidth="1"/>
    <col min="4102" max="4102" width="13" style="14" customWidth="1"/>
    <col min="4103" max="4103" width="9.42578125" style="14" customWidth="1"/>
    <col min="4104" max="4104" width="7.140625" style="14" customWidth="1"/>
    <col min="4105" max="4105" width="9.42578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42578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42578125" style="14" customWidth="1"/>
    <col min="4357" max="4357" width="13.140625" style="14" customWidth="1"/>
    <col min="4358" max="4358" width="13" style="14" customWidth="1"/>
    <col min="4359" max="4359" width="9.42578125" style="14" customWidth="1"/>
    <col min="4360" max="4360" width="7.140625" style="14" customWidth="1"/>
    <col min="4361" max="4361" width="9.42578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42578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42578125" style="14" customWidth="1"/>
    <col min="4613" max="4613" width="13.140625" style="14" customWidth="1"/>
    <col min="4614" max="4614" width="13" style="14" customWidth="1"/>
    <col min="4615" max="4615" width="9.42578125" style="14" customWidth="1"/>
    <col min="4616" max="4616" width="7.140625" style="14" customWidth="1"/>
    <col min="4617" max="4617" width="9.42578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42578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42578125" style="14" customWidth="1"/>
    <col min="4869" max="4869" width="13.140625" style="14" customWidth="1"/>
    <col min="4870" max="4870" width="13" style="14" customWidth="1"/>
    <col min="4871" max="4871" width="9.42578125" style="14" customWidth="1"/>
    <col min="4872" max="4872" width="7.140625" style="14" customWidth="1"/>
    <col min="4873" max="4873" width="9.42578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42578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42578125" style="14" customWidth="1"/>
    <col min="5125" max="5125" width="13.140625" style="14" customWidth="1"/>
    <col min="5126" max="5126" width="13" style="14" customWidth="1"/>
    <col min="5127" max="5127" width="9.42578125" style="14" customWidth="1"/>
    <col min="5128" max="5128" width="7.140625" style="14" customWidth="1"/>
    <col min="5129" max="5129" width="9.42578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42578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42578125" style="14" customWidth="1"/>
    <col min="5381" max="5381" width="13.140625" style="14" customWidth="1"/>
    <col min="5382" max="5382" width="13" style="14" customWidth="1"/>
    <col min="5383" max="5383" width="9.42578125" style="14" customWidth="1"/>
    <col min="5384" max="5384" width="7.140625" style="14" customWidth="1"/>
    <col min="5385" max="5385" width="9.42578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42578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42578125" style="14" customWidth="1"/>
    <col min="5637" max="5637" width="13.140625" style="14" customWidth="1"/>
    <col min="5638" max="5638" width="13" style="14" customWidth="1"/>
    <col min="5639" max="5639" width="9.42578125" style="14" customWidth="1"/>
    <col min="5640" max="5640" width="7.140625" style="14" customWidth="1"/>
    <col min="5641" max="5641" width="9.42578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42578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42578125" style="14" customWidth="1"/>
    <col min="5893" max="5893" width="13.140625" style="14" customWidth="1"/>
    <col min="5894" max="5894" width="13" style="14" customWidth="1"/>
    <col min="5895" max="5895" width="9.42578125" style="14" customWidth="1"/>
    <col min="5896" max="5896" width="7.140625" style="14" customWidth="1"/>
    <col min="5897" max="5897" width="9.42578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42578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42578125" style="14" customWidth="1"/>
    <col min="6149" max="6149" width="13.140625" style="14" customWidth="1"/>
    <col min="6150" max="6150" width="13" style="14" customWidth="1"/>
    <col min="6151" max="6151" width="9.42578125" style="14" customWidth="1"/>
    <col min="6152" max="6152" width="7.140625" style="14" customWidth="1"/>
    <col min="6153" max="6153" width="9.42578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42578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42578125" style="14" customWidth="1"/>
    <col min="6405" max="6405" width="13.140625" style="14" customWidth="1"/>
    <col min="6406" max="6406" width="13" style="14" customWidth="1"/>
    <col min="6407" max="6407" width="9.42578125" style="14" customWidth="1"/>
    <col min="6408" max="6408" width="7.140625" style="14" customWidth="1"/>
    <col min="6409" max="6409" width="9.42578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42578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42578125" style="14" customWidth="1"/>
    <col min="6661" max="6661" width="13.140625" style="14" customWidth="1"/>
    <col min="6662" max="6662" width="13" style="14" customWidth="1"/>
    <col min="6663" max="6663" width="9.42578125" style="14" customWidth="1"/>
    <col min="6664" max="6664" width="7.140625" style="14" customWidth="1"/>
    <col min="6665" max="6665" width="9.42578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42578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42578125" style="14" customWidth="1"/>
    <col min="6917" max="6917" width="13.140625" style="14" customWidth="1"/>
    <col min="6918" max="6918" width="13" style="14" customWidth="1"/>
    <col min="6919" max="6919" width="9.42578125" style="14" customWidth="1"/>
    <col min="6920" max="6920" width="7.140625" style="14" customWidth="1"/>
    <col min="6921" max="6921" width="9.42578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42578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42578125" style="14" customWidth="1"/>
    <col min="7173" max="7173" width="13.140625" style="14" customWidth="1"/>
    <col min="7174" max="7174" width="13" style="14" customWidth="1"/>
    <col min="7175" max="7175" width="9.42578125" style="14" customWidth="1"/>
    <col min="7176" max="7176" width="7.140625" style="14" customWidth="1"/>
    <col min="7177" max="7177" width="9.42578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42578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42578125" style="14" customWidth="1"/>
    <col min="7429" max="7429" width="13.140625" style="14" customWidth="1"/>
    <col min="7430" max="7430" width="13" style="14" customWidth="1"/>
    <col min="7431" max="7431" width="9.42578125" style="14" customWidth="1"/>
    <col min="7432" max="7432" width="7.140625" style="14" customWidth="1"/>
    <col min="7433" max="7433" width="9.42578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42578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42578125" style="14" customWidth="1"/>
    <col min="7685" max="7685" width="13.140625" style="14" customWidth="1"/>
    <col min="7686" max="7686" width="13" style="14" customWidth="1"/>
    <col min="7687" max="7687" width="9.42578125" style="14" customWidth="1"/>
    <col min="7688" max="7688" width="7.140625" style="14" customWidth="1"/>
    <col min="7689" max="7689" width="9.42578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42578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42578125" style="14" customWidth="1"/>
    <col min="7941" max="7941" width="13.140625" style="14" customWidth="1"/>
    <col min="7942" max="7942" width="13" style="14" customWidth="1"/>
    <col min="7943" max="7943" width="9.42578125" style="14" customWidth="1"/>
    <col min="7944" max="7944" width="7.140625" style="14" customWidth="1"/>
    <col min="7945" max="7945" width="9.42578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42578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42578125" style="14" customWidth="1"/>
    <col min="8197" max="8197" width="13.140625" style="14" customWidth="1"/>
    <col min="8198" max="8198" width="13" style="14" customWidth="1"/>
    <col min="8199" max="8199" width="9.42578125" style="14" customWidth="1"/>
    <col min="8200" max="8200" width="7.140625" style="14" customWidth="1"/>
    <col min="8201" max="8201" width="9.42578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42578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42578125" style="14" customWidth="1"/>
    <col min="8453" max="8453" width="13.140625" style="14" customWidth="1"/>
    <col min="8454" max="8454" width="13" style="14" customWidth="1"/>
    <col min="8455" max="8455" width="9.42578125" style="14" customWidth="1"/>
    <col min="8456" max="8456" width="7.140625" style="14" customWidth="1"/>
    <col min="8457" max="8457" width="9.42578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42578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42578125" style="14" customWidth="1"/>
    <col min="8709" max="8709" width="13.140625" style="14" customWidth="1"/>
    <col min="8710" max="8710" width="13" style="14" customWidth="1"/>
    <col min="8711" max="8711" width="9.42578125" style="14" customWidth="1"/>
    <col min="8712" max="8712" width="7.140625" style="14" customWidth="1"/>
    <col min="8713" max="8713" width="9.42578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42578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42578125" style="14" customWidth="1"/>
    <col min="8965" max="8965" width="13.140625" style="14" customWidth="1"/>
    <col min="8966" max="8966" width="13" style="14" customWidth="1"/>
    <col min="8967" max="8967" width="9.42578125" style="14" customWidth="1"/>
    <col min="8968" max="8968" width="7.140625" style="14" customWidth="1"/>
    <col min="8969" max="8969" width="9.42578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42578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42578125" style="14" customWidth="1"/>
    <col min="9221" max="9221" width="13.140625" style="14" customWidth="1"/>
    <col min="9222" max="9222" width="13" style="14" customWidth="1"/>
    <col min="9223" max="9223" width="9.42578125" style="14" customWidth="1"/>
    <col min="9224" max="9224" width="7.140625" style="14" customWidth="1"/>
    <col min="9225" max="9225" width="9.42578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42578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42578125" style="14" customWidth="1"/>
    <col min="9477" max="9477" width="13.140625" style="14" customWidth="1"/>
    <col min="9478" max="9478" width="13" style="14" customWidth="1"/>
    <col min="9479" max="9479" width="9.42578125" style="14" customWidth="1"/>
    <col min="9480" max="9480" width="7.140625" style="14" customWidth="1"/>
    <col min="9481" max="9481" width="9.42578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42578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42578125" style="14" customWidth="1"/>
    <col min="9733" max="9733" width="13.140625" style="14" customWidth="1"/>
    <col min="9734" max="9734" width="13" style="14" customWidth="1"/>
    <col min="9735" max="9735" width="9.42578125" style="14" customWidth="1"/>
    <col min="9736" max="9736" width="7.140625" style="14" customWidth="1"/>
    <col min="9737" max="9737" width="9.42578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42578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42578125" style="14" customWidth="1"/>
    <col min="9989" max="9989" width="13.140625" style="14" customWidth="1"/>
    <col min="9990" max="9990" width="13" style="14" customWidth="1"/>
    <col min="9991" max="9991" width="9.42578125" style="14" customWidth="1"/>
    <col min="9992" max="9992" width="7.140625" style="14" customWidth="1"/>
    <col min="9993" max="9993" width="9.42578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42578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42578125" style="14" customWidth="1"/>
    <col min="10245" max="10245" width="13.140625" style="14" customWidth="1"/>
    <col min="10246" max="10246" width="13" style="14" customWidth="1"/>
    <col min="10247" max="10247" width="9.42578125" style="14" customWidth="1"/>
    <col min="10248" max="10248" width="7.140625" style="14" customWidth="1"/>
    <col min="10249" max="10249" width="9.42578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42578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42578125" style="14" customWidth="1"/>
    <col min="10501" max="10501" width="13.140625" style="14" customWidth="1"/>
    <col min="10502" max="10502" width="13" style="14" customWidth="1"/>
    <col min="10503" max="10503" width="9.42578125" style="14" customWidth="1"/>
    <col min="10504" max="10504" width="7.140625" style="14" customWidth="1"/>
    <col min="10505" max="10505" width="9.42578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42578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42578125" style="14" customWidth="1"/>
    <col min="10757" max="10757" width="13.140625" style="14" customWidth="1"/>
    <col min="10758" max="10758" width="13" style="14" customWidth="1"/>
    <col min="10759" max="10759" width="9.42578125" style="14" customWidth="1"/>
    <col min="10760" max="10760" width="7.140625" style="14" customWidth="1"/>
    <col min="10761" max="10761" width="9.42578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42578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42578125" style="14" customWidth="1"/>
    <col min="11013" max="11013" width="13.140625" style="14" customWidth="1"/>
    <col min="11014" max="11014" width="13" style="14" customWidth="1"/>
    <col min="11015" max="11015" width="9.42578125" style="14" customWidth="1"/>
    <col min="11016" max="11016" width="7.140625" style="14" customWidth="1"/>
    <col min="11017" max="11017" width="9.42578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42578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42578125" style="14" customWidth="1"/>
    <col min="11269" max="11269" width="13.140625" style="14" customWidth="1"/>
    <col min="11270" max="11270" width="13" style="14" customWidth="1"/>
    <col min="11271" max="11271" width="9.42578125" style="14" customWidth="1"/>
    <col min="11272" max="11272" width="7.140625" style="14" customWidth="1"/>
    <col min="11273" max="11273" width="9.42578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42578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42578125" style="14" customWidth="1"/>
    <col min="11525" max="11525" width="13.140625" style="14" customWidth="1"/>
    <col min="11526" max="11526" width="13" style="14" customWidth="1"/>
    <col min="11527" max="11527" width="9.42578125" style="14" customWidth="1"/>
    <col min="11528" max="11528" width="7.140625" style="14" customWidth="1"/>
    <col min="11529" max="11529" width="9.42578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42578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42578125" style="14" customWidth="1"/>
    <col min="11781" max="11781" width="13.140625" style="14" customWidth="1"/>
    <col min="11782" max="11782" width="13" style="14" customWidth="1"/>
    <col min="11783" max="11783" width="9.42578125" style="14" customWidth="1"/>
    <col min="11784" max="11784" width="7.140625" style="14" customWidth="1"/>
    <col min="11785" max="11785" width="9.42578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42578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42578125" style="14" customWidth="1"/>
    <col min="12037" max="12037" width="13.140625" style="14" customWidth="1"/>
    <col min="12038" max="12038" width="13" style="14" customWidth="1"/>
    <col min="12039" max="12039" width="9.42578125" style="14" customWidth="1"/>
    <col min="12040" max="12040" width="7.140625" style="14" customWidth="1"/>
    <col min="12041" max="12041" width="9.42578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42578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42578125" style="14" customWidth="1"/>
    <col min="12293" max="12293" width="13.140625" style="14" customWidth="1"/>
    <col min="12294" max="12294" width="13" style="14" customWidth="1"/>
    <col min="12295" max="12295" width="9.42578125" style="14" customWidth="1"/>
    <col min="12296" max="12296" width="7.140625" style="14" customWidth="1"/>
    <col min="12297" max="12297" width="9.42578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42578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42578125" style="14" customWidth="1"/>
    <col min="12549" max="12549" width="13.140625" style="14" customWidth="1"/>
    <col min="12550" max="12550" width="13" style="14" customWidth="1"/>
    <col min="12551" max="12551" width="9.42578125" style="14" customWidth="1"/>
    <col min="12552" max="12552" width="7.140625" style="14" customWidth="1"/>
    <col min="12553" max="12553" width="9.42578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42578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42578125" style="14" customWidth="1"/>
    <col min="12805" max="12805" width="13.140625" style="14" customWidth="1"/>
    <col min="12806" max="12806" width="13" style="14" customWidth="1"/>
    <col min="12807" max="12807" width="9.42578125" style="14" customWidth="1"/>
    <col min="12808" max="12808" width="7.140625" style="14" customWidth="1"/>
    <col min="12809" max="12809" width="9.42578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42578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42578125" style="14" customWidth="1"/>
    <col min="13061" max="13061" width="13.140625" style="14" customWidth="1"/>
    <col min="13062" max="13062" width="13" style="14" customWidth="1"/>
    <col min="13063" max="13063" width="9.42578125" style="14" customWidth="1"/>
    <col min="13064" max="13064" width="7.140625" style="14" customWidth="1"/>
    <col min="13065" max="13065" width="9.42578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42578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42578125" style="14" customWidth="1"/>
    <col min="13317" max="13317" width="13.140625" style="14" customWidth="1"/>
    <col min="13318" max="13318" width="13" style="14" customWidth="1"/>
    <col min="13319" max="13319" width="9.42578125" style="14" customWidth="1"/>
    <col min="13320" max="13320" width="7.140625" style="14" customWidth="1"/>
    <col min="13321" max="13321" width="9.42578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42578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42578125" style="14" customWidth="1"/>
    <col min="13573" max="13573" width="13.140625" style="14" customWidth="1"/>
    <col min="13574" max="13574" width="13" style="14" customWidth="1"/>
    <col min="13575" max="13575" width="9.42578125" style="14" customWidth="1"/>
    <col min="13576" max="13576" width="7.140625" style="14" customWidth="1"/>
    <col min="13577" max="13577" width="9.42578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42578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42578125" style="14" customWidth="1"/>
    <col min="13829" max="13829" width="13.140625" style="14" customWidth="1"/>
    <col min="13830" max="13830" width="13" style="14" customWidth="1"/>
    <col min="13831" max="13831" width="9.42578125" style="14" customWidth="1"/>
    <col min="13832" max="13832" width="7.140625" style="14" customWidth="1"/>
    <col min="13833" max="13833" width="9.42578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42578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42578125" style="14" customWidth="1"/>
    <col min="14085" max="14085" width="13.140625" style="14" customWidth="1"/>
    <col min="14086" max="14086" width="13" style="14" customWidth="1"/>
    <col min="14087" max="14087" width="9.42578125" style="14" customWidth="1"/>
    <col min="14088" max="14088" width="7.140625" style="14" customWidth="1"/>
    <col min="14089" max="14089" width="9.42578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42578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42578125" style="14" customWidth="1"/>
    <col min="14341" max="14341" width="13.140625" style="14" customWidth="1"/>
    <col min="14342" max="14342" width="13" style="14" customWidth="1"/>
    <col min="14343" max="14343" width="9.42578125" style="14" customWidth="1"/>
    <col min="14344" max="14344" width="7.140625" style="14" customWidth="1"/>
    <col min="14345" max="14345" width="9.42578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42578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42578125" style="14" customWidth="1"/>
    <col min="14597" max="14597" width="13.140625" style="14" customWidth="1"/>
    <col min="14598" max="14598" width="13" style="14" customWidth="1"/>
    <col min="14599" max="14599" width="9.42578125" style="14" customWidth="1"/>
    <col min="14600" max="14600" width="7.140625" style="14" customWidth="1"/>
    <col min="14601" max="14601" width="9.42578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42578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42578125" style="14" customWidth="1"/>
    <col min="14853" max="14853" width="13.140625" style="14" customWidth="1"/>
    <col min="14854" max="14854" width="13" style="14" customWidth="1"/>
    <col min="14855" max="14855" width="9.42578125" style="14" customWidth="1"/>
    <col min="14856" max="14856" width="7.140625" style="14" customWidth="1"/>
    <col min="14857" max="14857" width="9.42578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42578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42578125" style="14" customWidth="1"/>
    <col min="15109" max="15109" width="13.140625" style="14" customWidth="1"/>
    <col min="15110" max="15110" width="13" style="14" customWidth="1"/>
    <col min="15111" max="15111" width="9.42578125" style="14" customWidth="1"/>
    <col min="15112" max="15112" width="7.140625" style="14" customWidth="1"/>
    <col min="15113" max="15113" width="9.42578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42578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42578125" style="14" customWidth="1"/>
    <col min="15365" max="15365" width="13.140625" style="14" customWidth="1"/>
    <col min="15366" max="15366" width="13" style="14" customWidth="1"/>
    <col min="15367" max="15367" width="9.42578125" style="14" customWidth="1"/>
    <col min="15368" max="15368" width="7.140625" style="14" customWidth="1"/>
    <col min="15369" max="15369" width="9.42578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42578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42578125" style="14" customWidth="1"/>
    <col min="15621" max="15621" width="13.140625" style="14" customWidth="1"/>
    <col min="15622" max="15622" width="13" style="14" customWidth="1"/>
    <col min="15623" max="15623" width="9.42578125" style="14" customWidth="1"/>
    <col min="15624" max="15624" width="7.140625" style="14" customWidth="1"/>
    <col min="15625" max="15625" width="9.42578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42578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42578125" style="14" customWidth="1"/>
    <col min="15877" max="15877" width="13.140625" style="14" customWidth="1"/>
    <col min="15878" max="15878" width="13" style="14" customWidth="1"/>
    <col min="15879" max="15879" width="9.42578125" style="14" customWidth="1"/>
    <col min="15880" max="15880" width="7.140625" style="14" customWidth="1"/>
    <col min="15881" max="15881" width="9.42578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42578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42578125" style="14" customWidth="1"/>
    <col min="16133" max="16133" width="13.140625" style="14" customWidth="1"/>
    <col min="16134" max="16134" width="13" style="14" customWidth="1"/>
    <col min="16135" max="16135" width="9.42578125" style="14" customWidth="1"/>
    <col min="16136" max="16136" width="7.140625" style="14" customWidth="1"/>
    <col min="16137" max="16137" width="9.42578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42578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37" t="s">
        <v>33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.75" thickTop="1" x14ac:dyDescent="0.25"/>
    <row r="3" spans="1:22" s="11" customFormat="1" ht="49.3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IF(OR(C4="s",C4="š"), D4, A4)</f>
        <v>Aija</v>
      </c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IF(OR(C5="s",C5="š"), D5, A5)</f>
        <v>Dace</v>
      </c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</v>
      </c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</v>
      </c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</v>
      </c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</v>
      </c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</v>
      </c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</v>
      </c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</v>
      </c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</v>
      </c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</v>
      </c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B4" sqref="B4:B13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37" t="s">
        <v>34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.75" thickTop="1" x14ac:dyDescent="0.25"/>
    <row r="3" spans="1:22" ht="34.3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23" t="str">
        <f>IF(AND(MOD(A4,10)=1,MOD(A4,100)&lt;&gt;11),"cents","centi")</f>
        <v>centi</v>
      </c>
    </row>
    <row r="5" spans="1:22" x14ac:dyDescent="0.25">
      <c r="A5" s="8">
        <v>1</v>
      </c>
      <c r="B5" s="23" t="str">
        <f t="shared" ref="B5:B13" si="0">IF(AND(MOD(A5,10)=1,MOD(A5,100)&lt;&gt;11),"cents","centi")</f>
        <v>cents</v>
      </c>
    </row>
    <row r="6" spans="1:22" x14ac:dyDescent="0.25">
      <c r="A6" s="8">
        <v>2</v>
      </c>
      <c r="B6" s="23" t="str">
        <f t="shared" si="0"/>
        <v>centi</v>
      </c>
    </row>
    <row r="7" spans="1:22" x14ac:dyDescent="0.25">
      <c r="A7" s="8">
        <v>9</v>
      </c>
      <c r="B7" s="23" t="str">
        <f t="shared" si="0"/>
        <v>centi</v>
      </c>
    </row>
    <row r="8" spans="1:22" x14ac:dyDescent="0.25">
      <c r="A8" s="8">
        <v>10</v>
      </c>
      <c r="B8" s="23" t="str">
        <f t="shared" si="0"/>
        <v>centi</v>
      </c>
    </row>
    <row r="9" spans="1:22" x14ac:dyDescent="0.25">
      <c r="A9" s="8">
        <v>11</v>
      </c>
      <c r="B9" s="23" t="str">
        <f t="shared" si="0"/>
        <v>centi</v>
      </c>
    </row>
    <row r="10" spans="1:22" x14ac:dyDescent="0.25">
      <c r="A10" s="8">
        <v>12</v>
      </c>
      <c r="B10" s="23" t="str">
        <f t="shared" si="0"/>
        <v>centi</v>
      </c>
    </row>
    <row r="11" spans="1:22" x14ac:dyDescent="0.25">
      <c r="A11" s="8">
        <v>21</v>
      </c>
      <c r="B11" s="23" t="str">
        <f t="shared" si="0"/>
        <v>cents</v>
      </c>
    </row>
    <row r="12" spans="1:22" x14ac:dyDescent="0.25">
      <c r="A12" s="8">
        <v>99</v>
      </c>
      <c r="B12" s="23" t="str">
        <f t="shared" si="0"/>
        <v>centi</v>
      </c>
    </row>
    <row r="13" spans="1:22" x14ac:dyDescent="0.25">
      <c r="A13" s="8">
        <v>91</v>
      </c>
      <c r="B13" s="23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>
      <selection activeCell="G11" sqref="G11"/>
    </sheetView>
  </sheetViews>
  <sheetFormatPr defaultColWidth="8.85546875" defaultRowHeight="15" x14ac:dyDescent="0.25"/>
  <cols>
    <col min="1" max="1" width="26.85546875" customWidth="1"/>
  </cols>
  <sheetData>
    <row r="1" spans="1:8" ht="18" customHeight="1" x14ac:dyDescent="0.25">
      <c r="A1" s="32" t="s">
        <v>35</v>
      </c>
      <c r="B1" s="32"/>
      <c r="C1" s="32"/>
      <c r="D1" s="32"/>
    </row>
    <row r="2" spans="1:8" ht="18" customHeight="1" x14ac:dyDescent="0.25">
      <c r="A2" s="33" t="s">
        <v>25</v>
      </c>
      <c r="B2" s="32">
        <v>10</v>
      </c>
      <c r="C2" s="32"/>
      <c r="D2" s="32"/>
    </row>
    <row r="3" spans="1:8" ht="18" customHeight="1" x14ac:dyDescent="0.25">
      <c r="A3" s="47" t="s">
        <v>49</v>
      </c>
      <c r="B3" s="47"/>
      <c r="C3" s="47"/>
      <c r="D3" s="47"/>
      <c r="E3" s="47"/>
      <c r="F3" s="47"/>
      <c r="G3" s="47"/>
      <c r="H3" s="47"/>
    </row>
    <row r="4" spans="1:8" ht="18" customHeight="1" x14ac:dyDescent="0.25"/>
    <row r="5" spans="1:8" ht="18" customHeight="1" x14ac:dyDescent="0.25"/>
    <row r="6" spans="1:8" ht="18" customHeight="1" thickBot="1" x14ac:dyDescent="0.3">
      <c r="A6" s="31" t="s">
        <v>48</v>
      </c>
      <c r="B6" s="31"/>
      <c r="C6" s="31"/>
      <c r="D6" s="31"/>
      <c r="E6" s="31"/>
      <c r="F6" s="31"/>
      <c r="G6" s="31"/>
      <c r="H6" s="31"/>
    </row>
    <row r="7" spans="1:8" ht="18" customHeight="1" thickTop="1" x14ac:dyDescent="0.25">
      <c r="A7" s="32" t="s">
        <v>47</v>
      </c>
      <c r="F7" s="36">
        <f>F16-F15</f>
        <v>1999.9999999999995</v>
      </c>
    </row>
    <row r="8" spans="1:8" ht="18" customHeight="1" x14ac:dyDescent="0.25">
      <c r="A8" s="45" t="s">
        <v>46</v>
      </c>
      <c r="B8" s="45"/>
      <c r="C8" s="45"/>
      <c r="F8" s="30">
        <f>F12*B2*2+2*B2*B2+2*(B2*F11)+(F12*F12-F11*F11)</f>
        <v>1165.685424949238</v>
      </c>
    </row>
    <row r="9" spans="1:8" ht="18" customHeight="1" x14ac:dyDescent="0.25"/>
    <row r="10" spans="1:8" ht="18" customHeight="1" x14ac:dyDescent="0.25">
      <c r="A10" s="45" t="s">
        <v>45</v>
      </c>
      <c r="B10" s="45"/>
      <c r="C10" s="45"/>
    </row>
    <row r="11" spans="1:8" ht="18" customHeight="1" x14ac:dyDescent="0.25">
      <c r="A11" s="45" t="s">
        <v>44</v>
      </c>
      <c r="B11" s="45"/>
      <c r="C11" s="45"/>
      <c r="F11" s="30">
        <f>B2/(SQRT(2))</f>
        <v>7.0710678118654746</v>
      </c>
    </row>
    <row r="12" spans="1:8" ht="18" customHeight="1" x14ac:dyDescent="0.25">
      <c r="A12" s="45" t="s">
        <v>43</v>
      </c>
      <c r="B12" s="45"/>
      <c r="C12" s="45"/>
      <c r="F12" s="30">
        <f>3*B2/(SQRT(2))</f>
        <v>21.213203435596423</v>
      </c>
    </row>
    <row r="13" spans="1:8" ht="18" customHeight="1" x14ac:dyDescent="0.25">
      <c r="A13" s="45" t="s">
        <v>42</v>
      </c>
      <c r="B13" s="45"/>
      <c r="C13" s="45"/>
      <c r="F13" s="30">
        <f>(F11*F11)/2</f>
        <v>24.999999999999996</v>
      </c>
    </row>
    <row r="14" spans="1:8" ht="18" customHeight="1" x14ac:dyDescent="0.25">
      <c r="A14" s="45" t="s">
        <v>41</v>
      </c>
      <c r="B14" s="45"/>
      <c r="C14" s="45"/>
      <c r="F14" s="30">
        <f>(F12*F12)/2</f>
        <v>224.99999999999994</v>
      </c>
    </row>
    <row r="15" spans="1:8" ht="18" customHeight="1" x14ac:dyDescent="0.25">
      <c r="A15" s="45" t="s">
        <v>40</v>
      </c>
      <c r="B15" s="45"/>
      <c r="C15" s="45"/>
      <c r="D15" s="45"/>
      <c r="E15" s="46"/>
      <c r="F15" s="36">
        <f>F13*B2</f>
        <v>249.99999999999997</v>
      </c>
    </row>
    <row r="16" spans="1:8" ht="18" customHeight="1" x14ac:dyDescent="0.25">
      <c r="A16" s="45" t="s">
        <v>39</v>
      </c>
      <c r="B16" s="45"/>
      <c r="C16" s="45"/>
      <c r="F16" s="36">
        <f>F14*B2</f>
        <v>2249.9999999999995</v>
      </c>
    </row>
    <row r="17" spans="1:3" x14ac:dyDescent="0.25">
      <c r="A17" s="34"/>
      <c r="B17" s="34"/>
      <c r="C17" s="34"/>
    </row>
    <row r="18" spans="1:3" x14ac:dyDescent="0.25">
      <c r="A18" s="34"/>
      <c r="B18" s="34"/>
      <c r="C18" s="34"/>
    </row>
    <row r="19" spans="1:3" ht="19.5" x14ac:dyDescent="0.25">
      <c r="A19" s="45"/>
      <c r="B19" s="45"/>
      <c r="C19" s="45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3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Laura Anna</cp:lastModifiedBy>
  <dcterms:created xsi:type="dcterms:W3CDTF">2021-10-27T13:59:32Z</dcterms:created>
  <dcterms:modified xsi:type="dcterms:W3CDTF">2026-03-18T13:40:34Z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